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un/Documents/GitHub/ira45y48e/formatted datasets/"/>
    </mc:Choice>
  </mc:AlternateContent>
  <xr:revisionPtr revIDLastSave="0" documentId="13_ncr:1_{0DDCAB58-819B-C448-9BDE-6BCCB092C0A9}" xr6:coauthVersionLast="47" xr6:coauthVersionMax="47" xr10:uidLastSave="{00000000-0000-0000-0000-000000000000}"/>
  <bookViews>
    <workbookView xWindow="41120" yWindow="1720" windowWidth="34560" windowHeight="19680" xr2:uid="{6D581610-266C-4320-B524-353AA8951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 a="1"/>
  <c r="E72" i="1"/>
  <c r="E93" i="1" a="1"/>
  <c r="E93" i="1" s="1"/>
  <c r="E94" i="1" a="1"/>
  <c r="E94" i="1" s="1"/>
  <c r="E95" i="1" a="1"/>
  <c r="E95" i="1" s="1"/>
  <c r="E96" i="1" a="1"/>
  <c r="E96" i="1" s="1"/>
  <c r="E92" i="1" a="1"/>
  <c r="E92" i="1" s="1"/>
  <c r="E76" i="1" a="1"/>
  <c r="E76" i="1"/>
  <c r="E74" i="1" a="1"/>
  <c r="E74" i="1" s="1"/>
  <c r="E73" i="1" a="1"/>
  <c r="E73" i="1"/>
  <c r="E56" i="1" a="1"/>
  <c r="E56" i="1"/>
  <c r="E55" i="1" a="1"/>
  <c r="E55" i="1"/>
  <c r="E54" i="1" a="1"/>
  <c r="E54" i="1"/>
  <c r="E53" i="1" a="1"/>
  <c r="E53" i="1" s="1"/>
  <c r="E52" i="1" a="1"/>
  <c r="E52" i="1"/>
  <c r="E36" i="1" a="1"/>
  <c r="E36" i="1"/>
  <c r="E35" i="1" a="1"/>
  <c r="E35" i="1"/>
  <c r="E34" i="1" a="1"/>
  <c r="E34" i="1" s="1"/>
  <c r="E33" i="1" a="1"/>
  <c r="E33" i="1"/>
  <c r="E32" i="1" a="1"/>
  <c r="E32" i="1" s="1"/>
  <c r="E16" i="1" a="1"/>
  <c r="E16" i="1"/>
  <c r="E15" i="1" a="1"/>
  <c r="E15" i="1"/>
  <c r="E14" i="1" a="1"/>
  <c r="E14" i="1"/>
  <c r="E13" i="1" a="1"/>
  <c r="E13" i="1"/>
  <c r="E12" i="1" a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<sst xmlns="http://schemas.openxmlformats.org/spreadsheetml/2006/main" count="388" uniqueCount="37">
  <si>
    <t>Region</t>
  </si>
  <si>
    <t>Stage</t>
  </si>
  <si>
    <t xml:space="preserve">Product </t>
  </si>
  <si>
    <t>GHG (g CO2eq/MJ)</t>
  </si>
  <si>
    <t>PADD 1</t>
  </si>
  <si>
    <t>Gasoline</t>
  </si>
  <si>
    <t>PADD 2</t>
  </si>
  <si>
    <t>PADD 3</t>
  </si>
  <si>
    <t>PADD 4</t>
  </si>
  <si>
    <t>PADD 5</t>
  </si>
  <si>
    <t>Crude Transport</t>
  </si>
  <si>
    <t>Refining</t>
  </si>
  <si>
    <t>Product Transport</t>
  </si>
  <si>
    <t>Jet</t>
  </si>
  <si>
    <t>Diesel</t>
  </si>
  <si>
    <t>Lubricants</t>
  </si>
  <si>
    <t>-</t>
  </si>
  <si>
    <t>GWP (CO2eq)</t>
  </si>
  <si>
    <t>CO2</t>
  </si>
  <si>
    <t>N2O</t>
  </si>
  <si>
    <t>CH4</t>
  </si>
  <si>
    <t>AR6 100 yr</t>
  </si>
  <si>
    <t>co2</t>
  </si>
  <si>
    <t>ch4</t>
  </si>
  <si>
    <t>n20</t>
  </si>
  <si>
    <t>g/MJ</t>
  </si>
  <si>
    <t>2014 NETL Petroleum Baseline</t>
  </si>
  <si>
    <t>https://doi.org/10.1021/acs.est.6b02819</t>
  </si>
  <si>
    <t>https://doi.org/10.1021/acs.est.8b05870</t>
  </si>
  <si>
    <t>2019 ANL Refinery Emissions to Products</t>
  </si>
  <si>
    <t>LPG</t>
  </si>
  <si>
    <t>from gasonline/jet/diesel</t>
  </si>
  <si>
    <t>from jet/diesel</t>
  </si>
  <si>
    <t xml:space="preserve">Crude Production </t>
  </si>
  <si>
    <t>Petroleum Refining</t>
  </si>
  <si>
    <t>from gasoline</t>
  </si>
  <si>
    <t>AR5 100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</si>
</sst>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24E11-6ACB-4B79-9412-A64FFF17DE39}" name="Table813233" displayName="Table813233" ref="I28:L29" totalsRowShown="0">
  <tableColumns count="4">
    <tableColumn id="1" xr3:uid="{715993D0-515D-4193-97EF-352027259B18}" name="GWP (CO2eq)"/>
    <tableColumn id="2" xr3:uid="{99BAC998-8455-4E3D-8D24-AE6F4E2B499A}" name="CO2"/>
    <tableColumn id="3" xr3:uid="{1A4CBBD8-B5B1-4314-A77D-D75773B279FC}" name="N2O"/>
    <tableColumn id="4" xr3:uid="{EEA4D69A-6577-41F1-822E-A7D6B0B3078B}" name="CH4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9518BA-8893-45E1-96C1-B1746711767D}" name="Table813234" displayName="Table813234" ref="I48:L49" totalsRowShown="0">
  <tableColumns count="4">
    <tableColumn id="1" xr3:uid="{C701CE56-5060-4134-ADAF-A6F42BDD82BE}" name="GWP (CO2eq)"/>
    <tableColumn id="2" xr3:uid="{403B7B73-E491-417E-979C-D2F78F0379AD}" name="CO2"/>
    <tableColumn id="3" xr3:uid="{5863FAB3-D055-489F-9482-61B7668E1497}" name="N2O"/>
    <tableColumn id="4" xr3:uid="{9EC01736-A64E-4B4B-881F-A049EE955766}" name="CH4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A4A23A-EC69-494C-89CD-9520EFD9708C}" name="Table813235" displayName="Table813235" ref="I68:L69" totalsRowShown="0">
  <tableColumns count="4">
    <tableColumn id="1" xr3:uid="{522A3AA9-24F7-49E5-9DED-777D15D1B23C}" name="GWP (CO2eq)"/>
    <tableColumn id="2" xr3:uid="{81B37186-DCD3-4876-AF11-6AD397F8E869}" name="CO2"/>
    <tableColumn id="3" xr3:uid="{7A061E0E-E8C7-42E4-A204-E29246D38F1F}" name="N2O"/>
    <tableColumn id="4" xr3:uid="{9E352BE4-79D8-4103-B63D-BB952FD802F8}" name="CH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987B0E-C705-463B-B8D7-5BA5751C5338}" name="Table813236" displayName="Table813236" ref="I8:L9" totalsRowShown="0">
  <tableColumns count="4">
    <tableColumn id="1" xr3:uid="{E8E2594B-69EA-4818-B143-01686689DEAB}" name="GWP (CO2eq)"/>
    <tableColumn id="2" xr3:uid="{764BBB87-BA45-4A59-BF6F-6FF59103DACE}" name="CO2"/>
    <tableColumn id="3" xr3:uid="{317EB762-7B7F-4306-842C-025A0366C97B}" name="N2O"/>
    <tableColumn id="4" xr3:uid="{2518F55F-A8F4-4768-AF56-8186A94F3011}" name="CH4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B49DAD-1143-4F04-A029-EFA78D56D179}" name="Table8132357" displayName="Table8132357" ref="I88:L89" totalsRowShown="0">
  <tableColumns count="4">
    <tableColumn id="1" xr3:uid="{4F52D814-DEEA-4D68-853E-4545751A663E}" name="GWP (CO2eq)"/>
    <tableColumn id="2" xr3:uid="{EE59A0FE-42D8-40A6-B4DC-C80C509595F1}" name="CO2"/>
    <tableColumn id="3" xr3:uid="{81F8F646-983B-4D83-9EBE-7C2580137C8B}" name="N2O"/>
    <tableColumn id="4" xr3:uid="{34969601-847A-4603-BF74-774A6923B5D9}" name="CH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877C-EB4E-4AD1-90E0-6341E184C97D}">
  <dimension ref="A1:L101"/>
  <sheetViews>
    <sheetView tabSelected="1" topLeftCell="A68" zoomScale="110" zoomScaleNormal="110" workbookViewId="0">
      <selection activeCell="S15" sqref="S15"/>
    </sheetView>
  </sheetViews>
  <sheetFormatPr baseColWidth="10" defaultColWidth="8.83203125" defaultRowHeight="15" x14ac:dyDescent="0.2"/>
  <cols>
    <col min="2" max="2" width="16.1640625" bestFit="1" customWidth="1"/>
    <col min="4" max="4" width="8.6640625" style="2"/>
  </cols>
  <sheetData>
    <row r="1" spans="1:12" x14ac:dyDescent="0.2">
      <c r="A1" t="s">
        <v>0</v>
      </c>
      <c r="B1" t="s">
        <v>1</v>
      </c>
      <c r="C1" t="s">
        <v>2</v>
      </c>
      <c r="D1" s="3" t="s">
        <v>3</v>
      </c>
    </row>
    <row r="2" spans="1:12" x14ac:dyDescent="0.2">
      <c r="A2" t="s">
        <v>4</v>
      </c>
      <c r="B2" t="s">
        <v>33</v>
      </c>
      <c r="C2" t="s">
        <v>5</v>
      </c>
      <c r="D2" s="2">
        <v>10.7</v>
      </c>
      <c r="G2" s="2" t="s">
        <v>26</v>
      </c>
      <c r="K2" s="2" t="s">
        <v>27</v>
      </c>
    </row>
    <row r="3" spans="1:12" x14ac:dyDescent="0.2">
      <c r="A3" t="s">
        <v>6</v>
      </c>
      <c r="B3" t="s">
        <v>33</v>
      </c>
      <c r="C3" t="s">
        <v>5</v>
      </c>
      <c r="D3" s="2">
        <v>11.4</v>
      </c>
      <c r="G3" s="4" t="s">
        <v>29</v>
      </c>
      <c r="K3" s="4" t="s">
        <v>28</v>
      </c>
    </row>
    <row r="4" spans="1:12" x14ac:dyDescent="0.2">
      <c r="A4" t="s">
        <v>7</v>
      </c>
      <c r="B4" t="s">
        <v>33</v>
      </c>
      <c r="C4" t="s">
        <v>5</v>
      </c>
      <c r="D4" s="2">
        <v>9.6</v>
      </c>
      <c r="F4" s="1"/>
    </row>
    <row r="5" spans="1:12" x14ac:dyDescent="0.2">
      <c r="A5" t="s">
        <v>8</v>
      </c>
      <c r="B5" t="s">
        <v>33</v>
      </c>
      <c r="C5" t="s">
        <v>5</v>
      </c>
      <c r="D5" s="2">
        <v>10.5</v>
      </c>
    </row>
    <row r="6" spans="1:12" x14ac:dyDescent="0.2">
      <c r="A6" t="s">
        <v>9</v>
      </c>
      <c r="B6" t="s">
        <v>33</v>
      </c>
      <c r="C6" t="s">
        <v>5</v>
      </c>
      <c r="D6" s="2">
        <v>11</v>
      </c>
    </row>
    <row r="7" spans="1:12" x14ac:dyDescent="0.2">
      <c r="A7" t="s">
        <v>4</v>
      </c>
      <c r="B7" t="s">
        <v>10</v>
      </c>
      <c r="C7" t="s">
        <v>5</v>
      </c>
      <c r="D7" s="2">
        <v>0.7</v>
      </c>
    </row>
    <row r="8" spans="1:12" x14ac:dyDescent="0.2">
      <c r="A8" t="s">
        <v>6</v>
      </c>
      <c r="B8" t="s">
        <v>10</v>
      </c>
      <c r="C8" t="s">
        <v>5</v>
      </c>
      <c r="D8" s="2">
        <v>0.5</v>
      </c>
      <c r="I8" t="s">
        <v>17</v>
      </c>
      <c r="J8" t="s">
        <v>18</v>
      </c>
      <c r="K8" t="s">
        <v>19</v>
      </c>
      <c r="L8" t="s">
        <v>20</v>
      </c>
    </row>
    <row r="9" spans="1:12" x14ac:dyDescent="0.2">
      <c r="A9" t="s">
        <v>7</v>
      </c>
      <c r="B9" t="s">
        <v>10</v>
      </c>
      <c r="C9" t="s">
        <v>5</v>
      </c>
      <c r="D9" s="2">
        <v>0.6</v>
      </c>
      <c r="I9" t="s">
        <v>36</v>
      </c>
      <c r="J9">
        <v>1</v>
      </c>
      <c r="K9">
        <v>298</v>
      </c>
      <c r="L9">
        <v>25</v>
      </c>
    </row>
    <row r="10" spans="1:12" x14ac:dyDescent="0.2">
      <c r="A10" t="s">
        <v>8</v>
      </c>
      <c r="B10" t="s">
        <v>10</v>
      </c>
      <c r="C10" t="s">
        <v>5</v>
      </c>
      <c r="D10" s="2">
        <v>0.5</v>
      </c>
    </row>
    <row r="11" spans="1:12" x14ac:dyDescent="0.2">
      <c r="A11" t="s">
        <v>9</v>
      </c>
      <c r="B11" t="s">
        <v>10</v>
      </c>
      <c r="C11" t="s">
        <v>5</v>
      </c>
      <c r="D11" s="2">
        <v>0.8</v>
      </c>
      <c r="F11" t="s">
        <v>25</v>
      </c>
      <c r="G11" t="s">
        <v>22</v>
      </c>
      <c r="H11" t="s">
        <v>23</v>
      </c>
      <c r="I11" t="s">
        <v>24</v>
      </c>
    </row>
    <row r="12" spans="1:12" x14ac:dyDescent="0.2">
      <c r="A12" t="s">
        <v>4</v>
      </c>
      <c r="B12" t="s">
        <v>34</v>
      </c>
      <c r="C12" t="s">
        <v>5</v>
      </c>
      <c r="D12" s="2">
        <v>9.8000000000000007</v>
      </c>
      <c r="E12" s="4" cm="1">
        <f t="array" ref="E12">G12+(H12*Table813236[CH4])+(I12*Table813236[N2O])</f>
        <v>7.9346100000000002</v>
      </c>
      <c r="F12" s="4"/>
      <c r="G12" s="4">
        <v>7.9</v>
      </c>
      <c r="H12" s="4">
        <v>5.5000000000000003E-4</v>
      </c>
      <c r="I12" s="4">
        <v>6.9999999999999994E-5</v>
      </c>
    </row>
    <row r="13" spans="1:12" x14ac:dyDescent="0.2">
      <c r="A13" t="s">
        <v>6</v>
      </c>
      <c r="B13" t="s">
        <v>34</v>
      </c>
      <c r="C13" t="s">
        <v>5</v>
      </c>
      <c r="D13" s="2">
        <v>11.7</v>
      </c>
      <c r="E13" s="4" cm="1">
        <f t="array" ref="E13">G13+(H13*Table813236[CH4])+(I13*Table813236[N2O])</f>
        <v>6.94313</v>
      </c>
      <c r="F13" s="4"/>
      <c r="G13" s="4">
        <v>6.9</v>
      </c>
      <c r="H13" s="4">
        <v>1.01E-3</v>
      </c>
      <c r="I13" s="4">
        <v>6.0000000000000002E-5</v>
      </c>
    </row>
    <row r="14" spans="1:12" x14ac:dyDescent="0.2">
      <c r="A14" t="s">
        <v>7</v>
      </c>
      <c r="B14" t="s">
        <v>34</v>
      </c>
      <c r="C14" t="s">
        <v>5</v>
      </c>
      <c r="D14" s="2">
        <v>11.3</v>
      </c>
      <c r="E14" s="4" cm="1">
        <f t="array" ref="E14">G14+(H14*Table813236[CH4])+(I14*Table813236[N2O])</f>
        <v>6.5398800000000001</v>
      </c>
      <c r="F14" s="4"/>
      <c r="G14" s="4">
        <v>6.5</v>
      </c>
      <c r="H14" s="4">
        <v>8.8000000000000003E-4</v>
      </c>
      <c r="I14" s="4">
        <v>6.0000000000000002E-5</v>
      </c>
    </row>
    <row r="15" spans="1:12" x14ac:dyDescent="0.2">
      <c r="A15" t="s">
        <v>8</v>
      </c>
      <c r="B15" t="s">
        <v>34</v>
      </c>
      <c r="C15" t="s">
        <v>5</v>
      </c>
      <c r="D15" s="2">
        <v>11.4</v>
      </c>
      <c r="E15" s="4" cm="1">
        <f t="array" ref="E15">G15+(H15*Table813236[CH4])+(I15*Table813236[N2O])</f>
        <v>9.2793399999999995</v>
      </c>
      <c r="F15" s="4"/>
      <c r="G15" s="4">
        <v>9.1999999999999993</v>
      </c>
      <c r="H15" s="4">
        <v>2.2200000000000002E-3</v>
      </c>
      <c r="I15" s="4">
        <v>8.0000000000000007E-5</v>
      </c>
    </row>
    <row r="16" spans="1:12" x14ac:dyDescent="0.2">
      <c r="A16" t="s">
        <v>9</v>
      </c>
      <c r="B16" t="s">
        <v>34</v>
      </c>
      <c r="C16" t="s">
        <v>5</v>
      </c>
      <c r="D16" s="2">
        <v>13.6</v>
      </c>
      <c r="E16" s="4" cm="1">
        <f t="array" ref="E16">G16+(H16*Table813236[CH4])+(I16*Table813236[N2O])</f>
        <v>9.6416299999999993</v>
      </c>
      <c r="F16" s="4"/>
      <c r="G16" s="4">
        <v>9.6</v>
      </c>
      <c r="H16" s="4">
        <v>9.5E-4</v>
      </c>
      <c r="I16" s="4">
        <v>6.0000000000000002E-5</v>
      </c>
    </row>
    <row r="17" spans="1:12" x14ac:dyDescent="0.2">
      <c r="A17" t="s">
        <v>4</v>
      </c>
      <c r="B17" t="s">
        <v>12</v>
      </c>
      <c r="C17" t="s">
        <v>5</v>
      </c>
      <c r="D17" s="2">
        <v>0.9</v>
      </c>
    </row>
    <row r="18" spans="1:12" x14ac:dyDescent="0.2">
      <c r="A18" t="s">
        <v>6</v>
      </c>
      <c r="B18" t="s">
        <v>12</v>
      </c>
      <c r="C18" t="s">
        <v>5</v>
      </c>
      <c r="D18" s="2">
        <v>0.9</v>
      </c>
    </row>
    <row r="19" spans="1:12" x14ac:dyDescent="0.2">
      <c r="A19" t="s">
        <v>7</v>
      </c>
      <c r="B19" t="s">
        <v>12</v>
      </c>
      <c r="C19" t="s">
        <v>5</v>
      </c>
      <c r="D19" s="2">
        <v>0.9</v>
      </c>
    </row>
    <row r="20" spans="1:12" x14ac:dyDescent="0.2">
      <c r="A20" t="s">
        <v>8</v>
      </c>
      <c r="B20" t="s">
        <v>12</v>
      </c>
      <c r="C20" t="s">
        <v>5</v>
      </c>
      <c r="D20" s="2">
        <v>0.9</v>
      </c>
    </row>
    <row r="21" spans="1:12" x14ac:dyDescent="0.2">
      <c r="A21" t="s">
        <v>9</v>
      </c>
      <c r="B21" t="s">
        <v>12</v>
      </c>
      <c r="C21" t="s">
        <v>5</v>
      </c>
      <c r="D21" s="2">
        <v>0.9</v>
      </c>
    </row>
    <row r="22" spans="1:12" x14ac:dyDescent="0.2">
      <c r="A22" t="s">
        <v>4</v>
      </c>
      <c r="B22" t="s">
        <v>33</v>
      </c>
      <c r="C22" t="s">
        <v>13</v>
      </c>
      <c r="D22" s="2">
        <v>10.7</v>
      </c>
    </row>
    <row r="23" spans="1:12" x14ac:dyDescent="0.2">
      <c r="A23" t="s">
        <v>6</v>
      </c>
      <c r="B23" t="s">
        <v>33</v>
      </c>
      <c r="C23" t="s">
        <v>13</v>
      </c>
      <c r="D23" s="2">
        <v>11.4</v>
      </c>
    </row>
    <row r="24" spans="1:12" x14ac:dyDescent="0.2">
      <c r="A24" t="s">
        <v>7</v>
      </c>
      <c r="B24" t="s">
        <v>33</v>
      </c>
      <c r="C24" t="s">
        <v>13</v>
      </c>
      <c r="D24" s="2">
        <v>9.6</v>
      </c>
    </row>
    <row r="25" spans="1:12" x14ac:dyDescent="0.2">
      <c r="A25" t="s">
        <v>8</v>
      </c>
      <c r="B25" t="s">
        <v>33</v>
      </c>
      <c r="C25" t="s">
        <v>13</v>
      </c>
      <c r="D25" s="2">
        <v>10.5</v>
      </c>
    </row>
    <row r="26" spans="1:12" x14ac:dyDescent="0.2">
      <c r="A26" t="s">
        <v>9</v>
      </c>
      <c r="B26" t="s">
        <v>33</v>
      </c>
      <c r="C26" t="s">
        <v>13</v>
      </c>
      <c r="D26" s="2">
        <v>11</v>
      </c>
    </row>
    <row r="27" spans="1:12" x14ac:dyDescent="0.2">
      <c r="A27" t="s">
        <v>4</v>
      </c>
      <c r="B27" t="s">
        <v>10</v>
      </c>
      <c r="C27" t="s">
        <v>13</v>
      </c>
      <c r="D27" s="2">
        <v>0.7</v>
      </c>
    </row>
    <row r="28" spans="1:12" x14ac:dyDescent="0.2">
      <c r="A28" t="s">
        <v>6</v>
      </c>
      <c r="B28" t="s">
        <v>10</v>
      </c>
      <c r="C28" t="s">
        <v>13</v>
      </c>
      <c r="D28" s="2">
        <v>0.5</v>
      </c>
      <c r="I28" t="s">
        <v>17</v>
      </c>
      <c r="J28" t="s">
        <v>18</v>
      </c>
      <c r="K28" t="s">
        <v>19</v>
      </c>
      <c r="L28" t="s">
        <v>20</v>
      </c>
    </row>
    <row r="29" spans="1:12" x14ac:dyDescent="0.2">
      <c r="A29" t="s">
        <v>7</v>
      </c>
      <c r="B29" t="s">
        <v>10</v>
      </c>
      <c r="C29" t="s">
        <v>13</v>
      </c>
      <c r="D29" s="2">
        <v>0.6</v>
      </c>
      <c r="I29" t="s">
        <v>36</v>
      </c>
      <c r="J29">
        <v>1</v>
      </c>
      <c r="K29">
        <v>298</v>
      </c>
      <c r="L29">
        <v>25</v>
      </c>
    </row>
    <row r="30" spans="1:12" x14ac:dyDescent="0.2">
      <c r="A30" t="s">
        <v>8</v>
      </c>
      <c r="B30" t="s">
        <v>10</v>
      </c>
      <c r="C30" t="s">
        <v>13</v>
      </c>
      <c r="D30" s="2">
        <v>0.5</v>
      </c>
      <c r="F30" s="1"/>
    </row>
    <row r="31" spans="1:12" x14ac:dyDescent="0.2">
      <c r="A31" t="s">
        <v>9</v>
      </c>
      <c r="B31" t="s">
        <v>10</v>
      </c>
      <c r="C31" t="s">
        <v>13</v>
      </c>
      <c r="D31" s="2">
        <v>0.8</v>
      </c>
      <c r="F31" t="s">
        <v>25</v>
      </c>
      <c r="G31" t="s">
        <v>22</v>
      </c>
      <c r="H31" t="s">
        <v>23</v>
      </c>
      <c r="I31" t="s">
        <v>24</v>
      </c>
    </row>
    <row r="32" spans="1:12" x14ac:dyDescent="0.2">
      <c r="A32" t="s">
        <v>4</v>
      </c>
      <c r="B32" t="s">
        <v>34</v>
      </c>
      <c r="C32" t="s">
        <v>13</v>
      </c>
      <c r="D32" s="2">
        <v>2.2999999999999998</v>
      </c>
      <c r="E32" s="4" cm="1">
        <f t="array" ref="E32">G32+(H32*Table813233[CH4])+(I32*Table813233[N2O])</f>
        <v>1.5079799999999999</v>
      </c>
      <c r="F32" s="4"/>
      <c r="G32" s="4">
        <v>1.5</v>
      </c>
      <c r="H32" s="4">
        <v>2.0000000000000001E-4</v>
      </c>
      <c r="I32" s="4">
        <v>1.0000000000000001E-5</v>
      </c>
    </row>
    <row r="33" spans="1:12" x14ac:dyDescent="0.2">
      <c r="A33" t="s">
        <v>6</v>
      </c>
      <c r="B33" t="s">
        <v>34</v>
      </c>
      <c r="C33" t="s">
        <v>13</v>
      </c>
      <c r="D33" s="2">
        <v>2.5</v>
      </c>
      <c r="E33" s="4" cm="1">
        <f t="array" ref="E33">G33+(H33*Table813233[CH4])+(I33*Table813233[N2O])</f>
        <v>1.7179599999999999</v>
      </c>
      <c r="F33" s="4"/>
      <c r="G33" s="4">
        <v>1.7</v>
      </c>
      <c r="H33" s="4">
        <v>4.8000000000000001E-4</v>
      </c>
      <c r="I33" s="4">
        <v>2.0000000000000002E-5</v>
      </c>
    </row>
    <row r="34" spans="1:12" x14ac:dyDescent="0.2">
      <c r="A34" t="s">
        <v>7</v>
      </c>
      <c r="B34" t="s">
        <v>34</v>
      </c>
      <c r="C34" t="s">
        <v>13</v>
      </c>
      <c r="D34" s="2">
        <v>2.5</v>
      </c>
      <c r="E34" s="4" cm="1">
        <f t="array" ref="E34">G34+(H34*Table813233[CH4])+(I34*Table813233[N2O])</f>
        <v>2.1239599999999998</v>
      </c>
      <c r="F34" s="4"/>
      <c r="G34" s="4">
        <v>2.1</v>
      </c>
      <c r="H34" s="4">
        <v>7.2000000000000005E-4</v>
      </c>
      <c r="I34" s="4">
        <v>2.0000000000000002E-5</v>
      </c>
    </row>
    <row r="35" spans="1:12" x14ac:dyDescent="0.2">
      <c r="A35" t="s">
        <v>8</v>
      </c>
      <c r="B35" t="s">
        <v>34</v>
      </c>
      <c r="C35" t="s">
        <v>13</v>
      </c>
      <c r="D35" s="2">
        <v>2.4</v>
      </c>
      <c r="E35" s="4" cm="1">
        <f t="array" ref="E35">G35+(H35*Table813233[CH4])+(I35*Table813233[N2O])</f>
        <v>2.0262099999999998</v>
      </c>
      <c r="F35" s="4"/>
      <c r="G35" s="4">
        <v>2</v>
      </c>
      <c r="H35" s="4">
        <v>8.0999999999999996E-4</v>
      </c>
      <c r="I35" s="4">
        <v>2.0000000000000002E-5</v>
      </c>
    </row>
    <row r="36" spans="1:12" x14ac:dyDescent="0.2">
      <c r="A36" t="s">
        <v>9</v>
      </c>
      <c r="B36" t="s">
        <v>34</v>
      </c>
      <c r="C36" t="s">
        <v>13</v>
      </c>
      <c r="D36" s="2">
        <v>2.7</v>
      </c>
      <c r="E36" s="4" cm="1">
        <f t="array" ref="E36">G36+(H36*Table813233[CH4])+(I36*Table813233[N2O])</f>
        <v>2.1267300000000002</v>
      </c>
      <c r="F36" s="4"/>
      <c r="G36" s="4">
        <v>2.1</v>
      </c>
      <c r="H36" s="4">
        <v>9.5E-4</v>
      </c>
      <c r="I36" s="4">
        <v>1.0000000000000001E-5</v>
      </c>
    </row>
    <row r="37" spans="1:12" x14ac:dyDescent="0.2">
      <c r="A37" t="s">
        <v>4</v>
      </c>
      <c r="B37" t="s">
        <v>12</v>
      </c>
      <c r="C37" t="s">
        <v>13</v>
      </c>
      <c r="D37" s="2">
        <v>0.8</v>
      </c>
    </row>
    <row r="38" spans="1:12" x14ac:dyDescent="0.2">
      <c r="A38" t="s">
        <v>6</v>
      </c>
      <c r="B38" t="s">
        <v>12</v>
      </c>
      <c r="C38" t="s">
        <v>13</v>
      </c>
      <c r="D38" s="2">
        <v>0.8</v>
      </c>
    </row>
    <row r="39" spans="1:12" x14ac:dyDescent="0.2">
      <c r="A39" t="s">
        <v>7</v>
      </c>
      <c r="B39" t="s">
        <v>12</v>
      </c>
      <c r="C39" t="s">
        <v>13</v>
      </c>
      <c r="D39" s="2">
        <v>0.8</v>
      </c>
    </row>
    <row r="40" spans="1:12" x14ac:dyDescent="0.2">
      <c r="A40" t="s">
        <v>8</v>
      </c>
      <c r="B40" t="s">
        <v>12</v>
      </c>
      <c r="C40" t="s">
        <v>13</v>
      </c>
      <c r="D40" s="2">
        <v>0.8</v>
      </c>
    </row>
    <row r="41" spans="1:12" x14ac:dyDescent="0.2">
      <c r="A41" t="s">
        <v>9</v>
      </c>
      <c r="B41" t="s">
        <v>12</v>
      </c>
      <c r="C41" t="s">
        <v>13</v>
      </c>
      <c r="D41" s="2">
        <v>0.8</v>
      </c>
    </row>
    <row r="42" spans="1:12" x14ac:dyDescent="0.2">
      <c r="A42" t="s">
        <v>4</v>
      </c>
      <c r="B42" t="s">
        <v>33</v>
      </c>
      <c r="C42" t="s">
        <v>14</v>
      </c>
      <c r="D42" s="2">
        <v>10.7</v>
      </c>
    </row>
    <row r="43" spans="1:12" x14ac:dyDescent="0.2">
      <c r="A43" t="s">
        <v>6</v>
      </c>
      <c r="B43" t="s">
        <v>33</v>
      </c>
      <c r="C43" t="s">
        <v>14</v>
      </c>
      <c r="D43" s="2">
        <v>11.4</v>
      </c>
    </row>
    <row r="44" spans="1:12" x14ac:dyDescent="0.2">
      <c r="A44" t="s">
        <v>7</v>
      </c>
      <c r="B44" t="s">
        <v>33</v>
      </c>
      <c r="C44" t="s">
        <v>14</v>
      </c>
      <c r="D44" s="2">
        <v>9.6</v>
      </c>
    </row>
    <row r="45" spans="1:12" x14ac:dyDescent="0.2">
      <c r="A45" t="s">
        <v>8</v>
      </c>
      <c r="B45" t="s">
        <v>33</v>
      </c>
      <c r="C45" t="s">
        <v>14</v>
      </c>
      <c r="D45" s="2">
        <v>10.5</v>
      </c>
    </row>
    <row r="46" spans="1:12" x14ac:dyDescent="0.2">
      <c r="A46" t="s">
        <v>9</v>
      </c>
      <c r="B46" t="s">
        <v>33</v>
      </c>
      <c r="C46" t="s">
        <v>14</v>
      </c>
      <c r="D46" s="2">
        <v>11</v>
      </c>
    </row>
    <row r="47" spans="1:12" x14ac:dyDescent="0.2">
      <c r="A47" t="s">
        <v>4</v>
      </c>
      <c r="B47" t="s">
        <v>10</v>
      </c>
      <c r="C47" t="s">
        <v>14</v>
      </c>
      <c r="D47" s="2">
        <v>0.7</v>
      </c>
    </row>
    <row r="48" spans="1:12" x14ac:dyDescent="0.2">
      <c r="A48" t="s">
        <v>6</v>
      </c>
      <c r="B48" t="s">
        <v>10</v>
      </c>
      <c r="C48" t="s">
        <v>14</v>
      </c>
      <c r="D48" s="2">
        <v>0.5</v>
      </c>
      <c r="I48" t="s">
        <v>17</v>
      </c>
      <c r="J48" t="s">
        <v>18</v>
      </c>
      <c r="K48" t="s">
        <v>19</v>
      </c>
      <c r="L48" t="s">
        <v>20</v>
      </c>
    </row>
    <row r="49" spans="1:12" x14ac:dyDescent="0.2">
      <c r="A49" t="s">
        <v>7</v>
      </c>
      <c r="B49" t="s">
        <v>10</v>
      </c>
      <c r="C49" t="s">
        <v>14</v>
      </c>
      <c r="D49" s="2">
        <v>0.6</v>
      </c>
      <c r="I49" t="s">
        <v>21</v>
      </c>
      <c r="J49">
        <v>1</v>
      </c>
      <c r="K49">
        <v>298</v>
      </c>
      <c r="L49">
        <v>25</v>
      </c>
    </row>
    <row r="50" spans="1:12" x14ac:dyDescent="0.2">
      <c r="A50" t="s">
        <v>8</v>
      </c>
      <c r="B50" t="s">
        <v>10</v>
      </c>
      <c r="C50" t="s">
        <v>14</v>
      </c>
      <c r="D50" s="2">
        <v>0.5</v>
      </c>
    </row>
    <row r="51" spans="1:12" x14ac:dyDescent="0.2">
      <c r="A51" t="s">
        <v>9</v>
      </c>
      <c r="B51" t="s">
        <v>10</v>
      </c>
      <c r="C51" t="s">
        <v>14</v>
      </c>
      <c r="D51" s="2">
        <v>0.8</v>
      </c>
      <c r="F51" t="s">
        <v>25</v>
      </c>
      <c r="G51" t="s">
        <v>22</v>
      </c>
      <c r="H51" t="s">
        <v>23</v>
      </c>
      <c r="I51" t="s">
        <v>24</v>
      </c>
    </row>
    <row r="52" spans="1:12" x14ac:dyDescent="0.2">
      <c r="A52" t="s">
        <v>4</v>
      </c>
      <c r="B52" t="s">
        <v>34</v>
      </c>
      <c r="C52" t="s">
        <v>14</v>
      </c>
      <c r="D52" s="2">
        <v>5.2</v>
      </c>
      <c r="E52" s="4" cm="1">
        <f t="array" ref="E52">G52+(H52*Table813234[CH4])+(I52*Table813234[N2O])</f>
        <v>4.5211699999999997</v>
      </c>
      <c r="F52" s="4"/>
      <c r="G52" s="4">
        <v>4.5</v>
      </c>
      <c r="H52" s="4">
        <v>3.6999999999999999E-4</v>
      </c>
      <c r="I52" s="4">
        <v>4.0000000000000003E-5</v>
      </c>
    </row>
    <row r="53" spans="1:12" x14ac:dyDescent="0.2">
      <c r="A53" t="s">
        <v>6</v>
      </c>
      <c r="B53" t="s">
        <v>34</v>
      </c>
      <c r="C53" t="s">
        <v>14</v>
      </c>
      <c r="D53" s="2">
        <v>7.4</v>
      </c>
      <c r="E53" s="4" cm="1">
        <f t="array" ref="E53">G53+(H53*Table813234[CH4])+(I53*Table813234[N2O])</f>
        <v>4.2311700000000005</v>
      </c>
      <c r="F53" s="4"/>
      <c r="G53" s="4">
        <v>4.2</v>
      </c>
      <c r="H53" s="4">
        <v>7.6999999999999996E-4</v>
      </c>
      <c r="I53" s="4">
        <v>4.0000000000000003E-5</v>
      </c>
    </row>
    <row r="54" spans="1:12" x14ac:dyDescent="0.2">
      <c r="A54" t="s">
        <v>7</v>
      </c>
      <c r="B54" t="s">
        <v>34</v>
      </c>
      <c r="C54" t="s">
        <v>14</v>
      </c>
      <c r="D54" s="2">
        <v>7.1</v>
      </c>
      <c r="E54" s="4" cm="1">
        <f t="array" ref="E54">G54+(H54*Table813234[CH4])+(I54*Table813234[N2O])</f>
        <v>4.4319199999999999</v>
      </c>
      <c r="F54" s="4"/>
      <c r="G54" s="4">
        <v>4.4000000000000004</v>
      </c>
      <c r="H54" s="4">
        <v>8.0000000000000004E-4</v>
      </c>
      <c r="I54" s="4">
        <v>4.0000000000000003E-5</v>
      </c>
    </row>
    <row r="55" spans="1:12" x14ac:dyDescent="0.2">
      <c r="A55" t="s">
        <v>8</v>
      </c>
      <c r="B55" t="s">
        <v>34</v>
      </c>
      <c r="C55" t="s">
        <v>14</v>
      </c>
      <c r="D55" s="2">
        <v>6.4</v>
      </c>
      <c r="E55" s="4" cm="1">
        <f t="array" ref="E55">G55+(H55*Table813234[CH4])+(I55*Table813234[N2O])</f>
        <v>4.6551699999999991</v>
      </c>
      <c r="F55" s="4"/>
      <c r="G55" s="4">
        <v>4.5999999999999996</v>
      </c>
      <c r="H55" s="4">
        <v>1.73E-3</v>
      </c>
      <c r="I55" s="4">
        <v>4.0000000000000003E-5</v>
      </c>
    </row>
    <row r="56" spans="1:12" x14ac:dyDescent="0.2">
      <c r="A56" t="s">
        <v>9</v>
      </c>
      <c r="B56" t="s">
        <v>34</v>
      </c>
      <c r="C56" t="s">
        <v>14</v>
      </c>
      <c r="D56" s="2">
        <v>10.9</v>
      </c>
      <c r="E56" s="4" cm="1">
        <f t="array" ref="E56">G56+(H56*Table813234[CH4])+(I56*Table813234[N2O])</f>
        <v>6.4281700000000006</v>
      </c>
      <c r="F56" s="4"/>
      <c r="G56" s="4">
        <v>6.4</v>
      </c>
      <c r="H56" s="4">
        <v>6.4999999999999997E-4</v>
      </c>
      <c r="I56" s="4">
        <v>4.0000000000000003E-5</v>
      </c>
    </row>
    <row r="57" spans="1:12" x14ac:dyDescent="0.2">
      <c r="A57" t="s">
        <v>4</v>
      </c>
      <c r="B57" t="s">
        <v>12</v>
      </c>
      <c r="C57" t="s">
        <v>14</v>
      </c>
      <c r="D57" s="2">
        <v>0.8</v>
      </c>
    </row>
    <row r="58" spans="1:12" x14ac:dyDescent="0.2">
      <c r="A58" t="s">
        <v>6</v>
      </c>
      <c r="B58" t="s">
        <v>12</v>
      </c>
      <c r="C58" t="s">
        <v>14</v>
      </c>
      <c r="D58" s="2">
        <v>0.8</v>
      </c>
    </row>
    <row r="59" spans="1:12" x14ac:dyDescent="0.2">
      <c r="A59" t="s">
        <v>7</v>
      </c>
      <c r="B59" t="s">
        <v>12</v>
      </c>
      <c r="C59" t="s">
        <v>14</v>
      </c>
      <c r="D59" s="2">
        <v>0.8</v>
      </c>
    </row>
    <row r="60" spans="1:12" x14ac:dyDescent="0.2">
      <c r="A60" t="s">
        <v>8</v>
      </c>
      <c r="B60" t="s">
        <v>12</v>
      </c>
      <c r="C60" t="s">
        <v>14</v>
      </c>
      <c r="D60" s="2">
        <v>0.8</v>
      </c>
    </row>
    <row r="61" spans="1:12" x14ac:dyDescent="0.2">
      <c r="A61" t="s">
        <v>9</v>
      </c>
      <c r="B61" t="s">
        <v>12</v>
      </c>
      <c r="C61" t="s">
        <v>14</v>
      </c>
      <c r="D61" s="2">
        <v>0.8</v>
      </c>
    </row>
    <row r="62" spans="1:12" x14ac:dyDescent="0.2">
      <c r="A62" t="s">
        <v>4</v>
      </c>
      <c r="B62" t="s">
        <v>33</v>
      </c>
      <c r="C62" t="s">
        <v>15</v>
      </c>
      <c r="D62" s="2">
        <v>10.7</v>
      </c>
      <c r="E62" s="2" t="s">
        <v>31</v>
      </c>
    </row>
    <row r="63" spans="1:12" x14ac:dyDescent="0.2">
      <c r="A63" t="s">
        <v>6</v>
      </c>
      <c r="B63" t="s">
        <v>33</v>
      </c>
      <c r="C63" t="s">
        <v>15</v>
      </c>
      <c r="D63" s="2">
        <v>11.4</v>
      </c>
      <c r="E63" s="2" t="s">
        <v>31</v>
      </c>
    </row>
    <row r="64" spans="1:12" x14ac:dyDescent="0.2">
      <c r="A64" t="s">
        <v>7</v>
      </c>
      <c r="B64" t="s">
        <v>33</v>
      </c>
      <c r="C64" t="s">
        <v>15</v>
      </c>
      <c r="D64" s="2">
        <v>9.6</v>
      </c>
      <c r="E64" s="2" t="s">
        <v>31</v>
      </c>
    </row>
    <row r="65" spans="1:12" x14ac:dyDescent="0.2">
      <c r="A65" t="s">
        <v>8</v>
      </c>
      <c r="B65" t="s">
        <v>33</v>
      </c>
      <c r="C65" t="s">
        <v>15</v>
      </c>
      <c r="D65" s="2">
        <v>10.5</v>
      </c>
      <c r="E65" s="2" t="s">
        <v>31</v>
      </c>
    </row>
    <row r="66" spans="1:12" x14ac:dyDescent="0.2">
      <c r="A66" t="s">
        <v>9</v>
      </c>
      <c r="B66" t="s">
        <v>33</v>
      </c>
      <c r="C66" t="s">
        <v>15</v>
      </c>
      <c r="D66" s="2">
        <v>11</v>
      </c>
      <c r="E66" s="2" t="s">
        <v>31</v>
      </c>
    </row>
    <row r="67" spans="1:12" x14ac:dyDescent="0.2">
      <c r="A67" t="s">
        <v>4</v>
      </c>
      <c r="B67" t="s">
        <v>10</v>
      </c>
      <c r="C67" t="s">
        <v>15</v>
      </c>
      <c r="D67" s="2">
        <v>0.7</v>
      </c>
      <c r="E67" s="2" t="s">
        <v>31</v>
      </c>
    </row>
    <row r="68" spans="1:12" x14ac:dyDescent="0.2">
      <c r="A68" t="s">
        <v>6</v>
      </c>
      <c r="B68" t="s">
        <v>10</v>
      </c>
      <c r="C68" t="s">
        <v>15</v>
      </c>
      <c r="D68" s="2">
        <v>0.5</v>
      </c>
      <c r="E68" s="2" t="s">
        <v>31</v>
      </c>
      <c r="I68" t="s">
        <v>17</v>
      </c>
      <c r="J68" t="s">
        <v>18</v>
      </c>
      <c r="K68" t="s">
        <v>19</v>
      </c>
      <c r="L68" t="s">
        <v>20</v>
      </c>
    </row>
    <row r="69" spans="1:12" x14ac:dyDescent="0.2">
      <c r="A69" t="s">
        <v>7</v>
      </c>
      <c r="B69" t="s">
        <v>10</v>
      </c>
      <c r="C69" t="s">
        <v>15</v>
      </c>
      <c r="D69" s="2">
        <v>0.6</v>
      </c>
      <c r="E69" s="2" t="s">
        <v>31</v>
      </c>
      <c r="I69" t="s">
        <v>21</v>
      </c>
      <c r="J69">
        <v>1</v>
      </c>
      <c r="K69">
        <v>298</v>
      </c>
      <c r="L69">
        <v>25</v>
      </c>
    </row>
    <row r="70" spans="1:12" x14ac:dyDescent="0.2">
      <c r="A70" t="s">
        <v>8</v>
      </c>
      <c r="B70" t="s">
        <v>10</v>
      </c>
      <c r="C70" t="s">
        <v>15</v>
      </c>
      <c r="D70" s="2">
        <v>0.5</v>
      </c>
      <c r="E70" s="2" t="s">
        <v>31</v>
      </c>
    </row>
    <row r="71" spans="1:12" x14ac:dyDescent="0.2">
      <c r="A71" t="s">
        <v>9</v>
      </c>
      <c r="B71" t="s">
        <v>10</v>
      </c>
      <c r="C71" t="s">
        <v>15</v>
      </c>
      <c r="D71" s="2">
        <v>0.8</v>
      </c>
      <c r="E71" s="2" t="s">
        <v>31</v>
      </c>
      <c r="F71" t="s">
        <v>25</v>
      </c>
      <c r="G71" t="s">
        <v>22</v>
      </c>
      <c r="H71" t="s">
        <v>23</v>
      </c>
      <c r="I71" t="s">
        <v>24</v>
      </c>
    </row>
    <row r="72" spans="1:12" x14ac:dyDescent="0.2">
      <c r="A72" t="s">
        <v>4</v>
      </c>
      <c r="B72" t="s">
        <v>34</v>
      </c>
      <c r="C72" t="s">
        <v>15</v>
      </c>
      <c r="D72" s="4">
        <v>13.461714000000001</v>
      </c>
      <c r="E72" s="4" cm="1">
        <f t="array" ref="E72">G72+(H72*Table813235[CH4])+(I72*Table813235[N2O])</f>
        <v>13.460740000000001</v>
      </c>
      <c r="F72" s="4"/>
      <c r="G72" s="4">
        <v>13.4</v>
      </c>
      <c r="H72" s="4">
        <v>8.8000000000000003E-4</v>
      </c>
      <c r="I72" s="4">
        <v>1.2999999999999999E-4</v>
      </c>
    </row>
    <row r="73" spans="1:12" x14ac:dyDescent="0.2">
      <c r="A73" t="s">
        <v>6</v>
      </c>
      <c r="B73" t="s">
        <v>34</v>
      </c>
      <c r="C73" t="s">
        <v>15</v>
      </c>
      <c r="D73" s="4">
        <v>6.1377879999999996</v>
      </c>
      <c r="E73" s="4" cm="1">
        <f t="array" ref="E73">G73+(H73*Table813235[CH4])+(I73*Table813235[N2O])</f>
        <v>6.1351499999999994</v>
      </c>
      <c r="F73" s="4"/>
      <c r="G73" s="4">
        <v>6.1</v>
      </c>
      <c r="H73" s="4">
        <v>8.0999999999999996E-4</v>
      </c>
      <c r="I73" s="4">
        <v>5.0000000000000002E-5</v>
      </c>
    </row>
    <row r="74" spans="1:12" x14ac:dyDescent="0.2">
      <c r="A74" t="s">
        <v>7</v>
      </c>
      <c r="B74" t="s">
        <v>34</v>
      </c>
      <c r="C74" t="s">
        <v>15</v>
      </c>
      <c r="D74" s="4">
        <v>12.064895999999999</v>
      </c>
      <c r="E74" s="4" cm="1">
        <f t="array" ref="E74">G74+(H74*Table813235[CH4])+(I74*Table813235[N2O])</f>
        <v>12.06203</v>
      </c>
      <c r="F74" s="4"/>
      <c r="G74" s="4">
        <v>12</v>
      </c>
      <c r="H74" s="4">
        <v>1.17E-3</v>
      </c>
      <c r="I74" s="4">
        <v>1.1E-4</v>
      </c>
    </row>
    <row r="75" spans="1:12" x14ac:dyDescent="0.2">
      <c r="A75" t="s">
        <v>8</v>
      </c>
      <c r="B75" t="s">
        <v>34</v>
      </c>
      <c r="C75" t="s">
        <v>15</v>
      </c>
      <c r="D75" s="4" t="s">
        <v>16</v>
      </c>
      <c r="E75" s="4" t="s">
        <v>16</v>
      </c>
      <c r="F75" s="4"/>
      <c r="G75" s="4" t="s">
        <v>16</v>
      </c>
      <c r="H75" s="4" t="s">
        <v>16</v>
      </c>
      <c r="I75" s="4" t="s">
        <v>16</v>
      </c>
    </row>
    <row r="76" spans="1:12" x14ac:dyDescent="0.2">
      <c r="A76" t="s">
        <v>9</v>
      </c>
      <c r="B76" t="s">
        <v>34</v>
      </c>
      <c r="C76" t="s">
        <v>15</v>
      </c>
      <c r="D76" s="4">
        <v>10.554024</v>
      </c>
      <c r="E76" s="4" cm="1">
        <f t="array" ref="E76">G76+(H76*Table813235[CH4])+(I76*Table813235[N2O])</f>
        <v>10.550839999999999</v>
      </c>
      <c r="F76" s="4"/>
      <c r="G76" s="4">
        <v>10.5</v>
      </c>
      <c r="H76" s="4">
        <v>1.08E-3</v>
      </c>
      <c r="I76" s="4">
        <v>8.0000000000000007E-5</v>
      </c>
    </row>
    <row r="77" spans="1:12" x14ac:dyDescent="0.2">
      <c r="A77" t="s">
        <v>4</v>
      </c>
      <c r="B77" t="s">
        <v>12</v>
      </c>
      <c r="C77" t="s">
        <v>15</v>
      </c>
      <c r="D77" s="2">
        <v>0.8</v>
      </c>
      <c r="E77" s="2" t="s">
        <v>32</v>
      </c>
    </row>
    <row r="78" spans="1:12" x14ac:dyDescent="0.2">
      <c r="A78" t="s">
        <v>6</v>
      </c>
      <c r="B78" t="s">
        <v>12</v>
      </c>
      <c r="C78" t="s">
        <v>15</v>
      </c>
      <c r="D78" s="2">
        <v>0.8</v>
      </c>
      <c r="E78" s="2" t="s">
        <v>32</v>
      </c>
    </row>
    <row r="79" spans="1:12" x14ac:dyDescent="0.2">
      <c r="A79" t="s">
        <v>7</v>
      </c>
      <c r="B79" t="s">
        <v>12</v>
      </c>
      <c r="C79" t="s">
        <v>15</v>
      </c>
      <c r="D79" s="2">
        <v>0.8</v>
      </c>
      <c r="E79" s="2" t="s">
        <v>32</v>
      </c>
    </row>
    <row r="80" spans="1:12" x14ac:dyDescent="0.2">
      <c r="A80" t="s">
        <v>8</v>
      </c>
      <c r="B80" t="s">
        <v>12</v>
      </c>
      <c r="C80" t="s">
        <v>15</v>
      </c>
      <c r="D80" s="2">
        <v>0.8</v>
      </c>
      <c r="E80" s="2" t="s">
        <v>32</v>
      </c>
    </row>
    <row r="81" spans="1:12" x14ac:dyDescent="0.2">
      <c r="A81" t="s">
        <v>9</v>
      </c>
      <c r="B81" t="s">
        <v>12</v>
      </c>
      <c r="C81" t="s">
        <v>15</v>
      </c>
      <c r="D81" s="2">
        <v>0.8</v>
      </c>
      <c r="E81" s="2" t="s">
        <v>32</v>
      </c>
    </row>
    <row r="82" spans="1:12" x14ac:dyDescent="0.2">
      <c r="A82" t="s">
        <v>4</v>
      </c>
      <c r="B82" t="s">
        <v>33</v>
      </c>
      <c r="C82" t="s">
        <v>30</v>
      </c>
      <c r="D82" s="2">
        <v>10.7</v>
      </c>
      <c r="E82" s="2" t="s">
        <v>31</v>
      </c>
    </row>
    <row r="83" spans="1:12" x14ac:dyDescent="0.2">
      <c r="A83" t="s">
        <v>6</v>
      </c>
      <c r="B83" t="s">
        <v>33</v>
      </c>
      <c r="C83" t="s">
        <v>30</v>
      </c>
      <c r="D83" s="2">
        <v>11.4</v>
      </c>
      <c r="E83" s="2" t="s">
        <v>31</v>
      </c>
    </row>
    <row r="84" spans="1:12" x14ac:dyDescent="0.2">
      <c r="A84" t="s">
        <v>7</v>
      </c>
      <c r="B84" t="s">
        <v>33</v>
      </c>
      <c r="C84" t="s">
        <v>30</v>
      </c>
      <c r="D84" s="2">
        <v>9.6</v>
      </c>
      <c r="E84" s="2" t="s">
        <v>31</v>
      </c>
    </row>
    <row r="85" spans="1:12" x14ac:dyDescent="0.2">
      <c r="A85" t="s">
        <v>8</v>
      </c>
      <c r="B85" t="s">
        <v>33</v>
      </c>
      <c r="C85" t="s">
        <v>30</v>
      </c>
      <c r="D85" s="2">
        <v>10.5</v>
      </c>
      <c r="E85" s="2" t="s">
        <v>31</v>
      </c>
    </row>
    <row r="86" spans="1:12" x14ac:dyDescent="0.2">
      <c r="A86" t="s">
        <v>9</v>
      </c>
      <c r="B86" t="s">
        <v>33</v>
      </c>
      <c r="C86" t="s">
        <v>30</v>
      </c>
      <c r="D86" s="2">
        <v>11</v>
      </c>
      <c r="E86" s="2" t="s">
        <v>31</v>
      </c>
    </row>
    <row r="87" spans="1:12" x14ac:dyDescent="0.2">
      <c r="A87" t="s">
        <v>4</v>
      </c>
      <c r="B87" t="s">
        <v>10</v>
      </c>
      <c r="C87" t="s">
        <v>30</v>
      </c>
      <c r="D87" s="2">
        <v>0.7</v>
      </c>
      <c r="E87" s="2" t="s">
        <v>31</v>
      </c>
    </row>
    <row r="88" spans="1:12" x14ac:dyDescent="0.2">
      <c r="A88" t="s">
        <v>6</v>
      </c>
      <c r="B88" t="s">
        <v>10</v>
      </c>
      <c r="C88" t="s">
        <v>30</v>
      </c>
      <c r="D88" s="2">
        <v>0.5</v>
      </c>
      <c r="E88" s="2" t="s">
        <v>31</v>
      </c>
      <c r="I88" t="s">
        <v>17</v>
      </c>
      <c r="J88" t="s">
        <v>18</v>
      </c>
      <c r="K88" t="s">
        <v>19</v>
      </c>
      <c r="L88" t="s">
        <v>20</v>
      </c>
    </row>
    <row r="89" spans="1:12" x14ac:dyDescent="0.2">
      <c r="A89" t="s">
        <v>7</v>
      </c>
      <c r="B89" t="s">
        <v>10</v>
      </c>
      <c r="C89" t="s">
        <v>30</v>
      </c>
      <c r="D89" s="2">
        <v>0.6</v>
      </c>
      <c r="E89" s="2" t="s">
        <v>31</v>
      </c>
      <c r="I89" t="s">
        <v>21</v>
      </c>
      <c r="J89">
        <v>1</v>
      </c>
      <c r="K89">
        <v>298</v>
      </c>
      <c r="L89">
        <v>25</v>
      </c>
    </row>
    <row r="90" spans="1:12" x14ac:dyDescent="0.2">
      <c r="A90" t="s">
        <v>8</v>
      </c>
      <c r="B90" t="s">
        <v>10</v>
      </c>
      <c r="C90" t="s">
        <v>30</v>
      </c>
      <c r="D90" s="2">
        <v>0.5</v>
      </c>
      <c r="E90" s="2" t="s">
        <v>31</v>
      </c>
    </row>
    <row r="91" spans="1:12" x14ac:dyDescent="0.2">
      <c r="A91" t="s">
        <v>9</v>
      </c>
      <c r="B91" t="s">
        <v>10</v>
      </c>
      <c r="C91" t="s">
        <v>30</v>
      </c>
      <c r="D91" s="2">
        <v>0.8</v>
      </c>
      <c r="E91" s="2" t="s">
        <v>31</v>
      </c>
      <c r="F91" t="s">
        <v>25</v>
      </c>
      <c r="G91" t="s">
        <v>22</v>
      </c>
      <c r="H91" t="s">
        <v>23</v>
      </c>
      <c r="I91" t="s">
        <v>24</v>
      </c>
    </row>
    <row r="92" spans="1:12" x14ac:dyDescent="0.2">
      <c r="A92" t="s">
        <v>4</v>
      </c>
      <c r="B92" t="s">
        <v>11</v>
      </c>
      <c r="C92" t="s">
        <v>30</v>
      </c>
      <c r="D92" s="4">
        <v>8.2396719999999988</v>
      </c>
      <c r="E92" s="4" cm="1">
        <f t="array" ref="E92">G92+(H92*Table813235[CH4])+(I92*Table813235[N2O])</f>
        <v>8.2381100000000007</v>
      </c>
      <c r="F92" s="4"/>
      <c r="G92" s="4">
        <v>8.1999999999999993</v>
      </c>
      <c r="H92" s="4">
        <v>6.8999999999999997E-4</v>
      </c>
      <c r="I92" s="4">
        <v>6.9999999999999994E-5</v>
      </c>
    </row>
    <row r="93" spans="1:12" x14ac:dyDescent="0.2">
      <c r="A93" t="s">
        <v>6</v>
      </c>
      <c r="B93" t="s">
        <v>11</v>
      </c>
      <c r="C93" t="s">
        <v>30</v>
      </c>
      <c r="D93" s="4">
        <v>7.2383839999999999</v>
      </c>
      <c r="E93" s="4" cm="1">
        <f t="array" ref="E93">G93+(H93*Table813235[CH4])+(I93*Table813235[N2O])</f>
        <v>7.2356499999999997</v>
      </c>
      <c r="F93" s="4"/>
      <c r="G93" s="4">
        <v>7.2</v>
      </c>
      <c r="H93" s="4">
        <v>8.3000000000000001E-4</v>
      </c>
      <c r="I93" s="4">
        <v>5.0000000000000002E-5</v>
      </c>
    </row>
    <row r="94" spans="1:12" x14ac:dyDescent="0.2">
      <c r="A94" t="s">
        <v>7</v>
      </c>
      <c r="B94" t="s">
        <v>11</v>
      </c>
      <c r="C94" t="s">
        <v>30</v>
      </c>
      <c r="D94" s="4">
        <v>7.2392780000000005</v>
      </c>
      <c r="E94" s="4" cm="1">
        <f t="array" ref="E94">G94+(H94*Table813235[CH4])+(I94*Table813235[N2O])</f>
        <v>7.2363999999999997</v>
      </c>
      <c r="F94" s="4"/>
      <c r="G94" s="4">
        <v>7.2</v>
      </c>
      <c r="H94" s="4">
        <v>8.5999999999999998E-4</v>
      </c>
      <c r="I94" s="4">
        <v>5.0000000000000002E-5</v>
      </c>
    </row>
    <row r="95" spans="1:12" x14ac:dyDescent="0.2">
      <c r="A95" t="s">
        <v>8</v>
      </c>
      <c r="B95" t="s">
        <v>11</v>
      </c>
      <c r="C95" t="s">
        <v>30</v>
      </c>
      <c r="D95" s="4">
        <v>7.7607819999999998</v>
      </c>
      <c r="E95" s="4" cm="1">
        <f t="array" ref="E95">G95+(H95*Table813235[CH4])+(I95*Table813235[N2O])</f>
        <v>7.7551300000000003</v>
      </c>
      <c r="F95" s="4"/>
      <c r="G95" s="4">
        <v>7.7</v>
      </c>
      <c r="H95" s="4">
        <v>1.49E-3</v>
      </c>
      <c r="I95" s="4">
        <v>6.0000000000000002E-5</v>
      </c>
    </row>
    <row r="96" spans="1:12" x14ac:dyDescent="0.2">
      <c r="A96" t="s">
        <v>9</v>
      </c>
      <c r="B96" t="s">
        <v>11</v>
      </c>
      <c r="C96" t="s">
        <v>30</v>
      </c>
      <c r="D96" s="4">
        <v>8.1351060000000004</v>
      </c>
      <c r="E96" s="4" cm="1">
        <f t="array" ref="E96">G96+(H96*Table813235[CH4])+(I96*Table813235[N2O])</f>
        <v>8.1329000000000011</v>
      </c>
      <c r="F96" s="4"/>
      <c r="G96" s="4">
        <v>8.1</v>
      </c>
      <c r="H96" s="4">
        <v>7.2000000000000005E-4</v>
      </c>
      <c r="I96" s="4">
        <v>5.0000000000000002E-5</v>
      </c>
    </row>
    <row r="97" spans="1:5" x14ac:dyDescent="0.2">
      <c r="A97" t="s">
        <v>4</v>
      </c>
      <c r="B97" t="s">
        <v>12</v>
      </c>
      <c r="C97" t="s">
        <v>30</v>
      </c>
      <c r="D97" s="2">
        <v>0.9</v>
      </c>
      <c r="E97" s="2" t="s">
        <v>35</v>
      </c>
    </row>
    <row r="98" spans="1:5" x14ac:dyDescent="0.2">
      <c r="A98" t="s">
        <v>6</v>
      </c>
      <c r="B98" t="s">
        <v>12</v>
      </c>
      <c r="C98" t="s">
        <v>30</v>
      </c>
      <c r="D98" s="2">
        <v>0.9</v>
      </c>
      <c r="E98" s="2" t="s">
        <v>35</v>
      </c>
    </row>
    <row r="99" spans="1:5" x14ac:dyDescent="0.2">
      <c r="A99" t="s">
        <v>7</v>
      </c>
      <c r="B99" t="s">
        <v>12</v>
      </c>
      <c r="C99" t="s">
        <v>30</v>
      </c>
      <c r="D99" s="2">
        <v>0.9</v>
      </c>
      <c r="E99" s="2" t="s">
        <v>35</v>
      </c>
    </row>
    <row r="100" spans="1:5" x14ac:dyDescent="0.2">
      <c r="A100" t="s">
        <v>8</v>
      </c>
      <c r="B100" t="s">
        <v>12</v>
      </c>
      <c r="C100" t="s">
        <v>30</v>
      </c>
      <c r="D100" s="2">
        <v>0.9</v>
      </c>
      <c r="E100" s="2" t="s">
        <v>35</v>
      </c>
    </row>
    <row r="101" spans="1:5" x14ac:dyDescent="0.2">
      <c r="A101" t="s">
        <v>9</v>
      </c>
      <c r="B101" t="s">
        <v>12</v>
      </c>
      <c r="C101" t="s">
        <v>30</v>
      </c>
      <c r="D101" s="2">
        <v>0.9</v>
      </c>
      <c r="E101" s="2" t="s">
        <v>35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Marroquin, Isaias</dc:creator>
  <cp:lastModifiedBy>Chun, Soomin</cp:lastModifiedBy>
  <dcterms:created xsi:type="dcterms:W3CDTF">2024-10-25T21:15:32Z</dcterms:created>
  <dcterms:modified xsi:type="dcterms:W3CDTF">2025-02-10T21:31:11Z</dcterms:modified>
</cp:coreProperties>
</file>